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6f212dc3464f98/Desktop/Mock_3/Excel/"/>
    </mc:Choice>
  </mc:AlternateContent>
  <xr:revisionPtr revIDLastSave="1" documentId="8_{58EF67DB-5774-4F79-9F6D-88158309F754}" xr6:coauthVersionLast="47" xr6:coauthVersionMax="47" xr10:uidLastSave="{1BBAA614-C9F0-43E7-BF5E-59DAC7336AF9}"/>
  <bookViews>
    <workbookView xWindow="-108" yWindow="-108" windowWidth="23256" windowHeight="12456" activeTab="1" xr2:uid="{10E44CAE-B776-4487-8BDE-5DBAF32242F9}"/>
  </bookViews>
  <sheets>
    <sheet name="Raw" sheetId="1" r:id="rId1"/>
    <sheet name="Deliveries" sheetId="3" r:id="rId2"/>
    <sheet name="Lookup" sheetId="2" r:id="rId3"/>
    <sheet name="Summary Sheet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H13" i="3"/>
  <c r="H12" i="3"/>
  <c r="H11" i="3"/>
  <c r="H10" i="3"/>
  <c r="H9" i="3"/>
  <c r="H8" i="3"/>
  <c r="H7" i="3"/>
  <c r="H6" i="3"/>
  <c r="H5" i="3"/>
  <c r="H4" i="3"/>
  <c r="H3" i="3"/>
  <c r="H2" i="3"/>
  <c r="G13" i="3"/>
  <c r="G12" i="3"/>
  <c r="G11" i="3"/>
  <c r="G10" i="3"/>
  <c r="G9" i="3"/>
  <c r="G8" i="3"/>
  <c r="G7" i="3"/>
  <c r="G6" i="3"/>
  <c r="G5" i="3"/>
  <c r="G4" i="3"/>
  <c r="G3" i="3"/>
  <c r="G2" i="3"/>
  <c r="K6" i="3"/>
  <c r="K5" i="3"/>
</calcChain>
</file>

<file path=xl/sharedStrings.xml><?xml version="1.0" encoding="utf-8"?>
<sst xmlns="http://schemas.openxmlformats.org/spreadsheetml/2006/main" count="121" uniqueCount="32">
  <si>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</si>
  <si>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</si>
  <si>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</si>
  <si>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</si>
  <si>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</si>
  <si>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</si>
  <si>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</si>
  <si>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</si>
  <si>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</si>
  <si>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</si>
  <si>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</si>
  <si>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</si>
  <si>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</si>
  <si>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</si>
  <si>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</si>
  <si>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</si>
  <si>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</si>
  <si>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</si>
  <si>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</si>
  <si>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</si>
  <si>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</si>
  <si>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</si>
  <si>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</si>
  <si>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</si>
  <si>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Row Count(Before)</t>
  </si>
  <si>
    <t>Row Count(After)</t>
  </si>
  <si>
    <t>Service Type</t>
  </si>
  <si>
    <t>Delay_Days</t>
  </si>
  <si>
    <t>Row Labels</t>
  </si>
  <si>
    <t>Grand Total</t>
  </si>
  <si>
    <t>Month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</si>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</sst>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 Sheet!PivotTable1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Sheet'!$B$2:$B$3</c:f>
              <c:strCache>
                <c:ptCount val="1"/>
                <c:pt idx="0">
                  <c:v>Express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'Summary Sheet'!$A$4:$A$7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'Summary Sheet'!$B$4:$B$7</c:f>
              <c:numCache>
                <c:formatCode>0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D-4117-94A9-D8403602CD92}"/>
            </c:ext>
          </c:extLst>
        </c:ser>
        <c:ser>
          <c:idx val="1"/>
          <c:order val="1"/>
          <c:tx>
            <c:strRef>
              <c:f>'Summary Sheet'!$C$2:$C$3</c:f>
              <c:strCache>
                <c:ptCount val="1"/>
                <c:pt idx="0">
                  <c:v>Standard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'Summary Sheet'!$A$4:$A$7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'Summary Sheet'!$C$4:$C$7</c:f>
              <c:numCache>
                <c:formatCode>0</c:formatCode>
                <c:ptCount val="3"/>
                <c:pt idx="0">
                  <c:v>7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D-4117-94A9-D8403602C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47605776"/>
        <c:axId val="470067408"/>
      </c:barChart>
      <c:catAx>
        <c:axId val="5476057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67408"/>
        <c:crosses val="autoZero"/>
        <c:auto val="1"/>
        <c:lblAlgn val="ctr"/>
        <c:lblOffset val="100"/>
        <c:noMultiLvlLbl val="0"/>
      </c:catAx>
      <c:valAx>
        <c:axId val="470067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0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12</xdr:row>
      <xdr:rowOff>110490</xdr:rowOff>
    </xdr:from>
    <xdr:to>
      <xdr:col>6</xdr:col>
      <xdr:colOff>22860</xdr:colOff>
      <xdr:row>27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A762B0-D7EF-B6D5-F842-16A35F8EA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el" refreshedDate="46305.538815162035" createdVersion="8" refreshedVersion="8" minRefreshableVersion="3" recordCount="12" xr:uid="{B41657E2-2C8A-46AA-9162-4DA402B4F166}">
  <cacheSource type="worksheet">
    <worksheetSource ref="A1:H13" sheet="Deliveries"/>
  </cacheSource>
  <cacheFields count="8">
    <cacheField name="record_id" numFmtId="1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1">
      <sharedItems containsSemiMixedTypes="0" containsString="0" containsNumber="1" containsInteger="1" minValue="2" maxValue="6"/>
    </cacheField>
    <cacheField name="actual_days" numFmtId="1">
      <sharedItems containsSemiMixedTypes="0" containsString="0" containsNumber="1" containsInteger="1" minValue="2" maxValue="15"/>
    </cacheField>
    <cacheField name="Service Type" numFmtId="0">
      <sharedItems count="2">
        <s v="Express"/>
        <s v="Standard"/>
      </sharedItems>
    </cacheField>
    <cacheField name="Delay_Days" numFmtId="1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463EA-B466-41F9-AA69-BA1DE69D337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colHeaderCaption="Month">
  <location ref="A2:D7" firstHeaderRow="1" firstDataRow="2" firstDataCol="1"/>
  <pivotFields count="8"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numFmtId="1" showAll="0"/>
    <pivotField axis="axisCol" showAll="0">
      <items count="3">
        <item x="0"/>
        <item x="1"/>
        <item t="default"/>
      </items>
    </pivotField>
    <pivotField dataField="1" numFmtI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Delay_Days" fld="7" baseField="0" baseItem="0" numFmtId="1"/>
  </dataFields>
  <chartFormats count="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1"/>
          </reference>
        </references>
      </pivotArea>
    </chartFormat>
    <chartFormat chart="3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6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9969-2486-45D1-90F7-74EE35EA787F}">
  <dimension ref="A1:F14"/>
  <sheetViews>
    <sheetView workbookViewId="0">
      <selection activeCell="G4" sqref="G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6" x14ac:dyDescent="0.3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</row>
    <row r="4" spans="1:6" x14ac:dyDescent="0.3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</row>
    <row r="5" spans="1:6" x14ac:dyDescent="0.3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</row>
    <row r="6" spans="1:6" x14ac:dyDescent="0.3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</row>
    <row r="7" spans="1:6" x14ac:dyDescent="0.3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</row>
    <row r="8" spans="1:6" x14ac:dyDescent="0.3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</row>
    <row r="9" spans="1:6" x14ac:dyDescent="0.3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</row>
    <row r="10" spans="1:6" x14ac:dyDescent="0.3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</row>
    <row r="11" spans="1:6" x14ac:dyDescent="0.3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</row>
    <row r="12" spans="1:6" x14ac:dyDescent="0.3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</row>
    <row r="13" spans="1:6" x14ac:dyDescent="0.3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</row>
    <row r="14" spans="1:6" x14ac:dyDescent="0.3">
      <c r="A14">
        <v>12</v>
      </c>
      <c r="B14" t="s">
        <v>15</v>
      </c>
      <c r="C14" t="s">
        <v>13</v>
      </c>
      <c r="D14" t="s">
        <v>8</v>
      </c>
      <c r="E14">
        <v>6</v>
      </c>
      <c r="F1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CBBE-95C1-4825-8496-7612F5B68323}">
  <dimension ref="A1:K13"/>
  <sheetViews>
    <sheetView tabSelected="1" workbookViewId="0">
      <selection activeCell="D1" sqref="D1:D13"/>
    </sheetView>
  </sheetViews>
  <sheetFormatPr defaultRowHeight="14.4" x14ac:dyDescent="0.3"/>
  <cols>
    <col min="1" max="1" width="18.88671875" customWidth="1"/>
    <col min="2" max="2" width="18.5546875" customWidth="1"/>
    <col min="3" max="3" width="23.109375" customWidth="1"/>
    <col min="5" max="5" width="23.109375" customWidth="1"/>
    <col min="6" max="6" width="17" customWidth="1"/>
    <col min="7" max="7" width="18" customWidth="1"/>
    <col min="8" max="8" width="13" customWidth="1"/>
    <col min="10" max="10" width="25.5546875" customWidth="1"/>
    <col min="11" max="11" width="15.33203125" customWidth="1"/>
  </cols>
  <sheetData>
    <row r="1" spans="1:1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26</v>
      </c>
      <c r="H1" s="2" t="s">
        <v>27</v>
      </c>
    </row>
    <row r="2" spans="1:11" x14ac:dyDescent="0.3">
      <c r="A2" s="3">
        <v>1</v>
      </c>
      <c r="B2" s="1" t="s">
        <v>6</v>
      </c>
      <c r="C2" s="1" t="s">
        <v>7</v>
      </c>
      <c r="D2" s="1" t="s">
        <v>8</v>
      </c>
      <c r="E2" s="3">
        <v>2</v>
      </c>
      <c r="F2" s="3">
        <v>2</v>
      </c>
      <c r="G2" s="1" t="str">
        <f>_xlfn.XLOOKUP(C2,Lookup!$A$2:$A$5,Lookup!$C$2:$C$5)</f>
        <v>Express</v>
      </c>
      <c r="H2" s="3">
        <f>MAX($F2-$E2,0)</f>
        <v>0</v>
      </c>
    </row>
    <row r="3" spans="1:11" x14ac:dyDescent="0.3">
      <c r="A3" s="3">
        <v>2</v>
      </c>
      <c r="B3" s="1" t="s">
        <v>6</v>
      </c>
      <c r="C3" s="1" t="s">
        <v>9</v>
      </c>
      <c r="D3" s="1" t="s">
        <v>10</v>
      </c>
      <c r="E3" s="3">
        <v>3</v>
      </c>
      <c r="F3" s="3">
        <v>4</v>
      </c>
      <c r="G3" s="1" t="str">
        <f>_xlfn.XLOOKUP(C3,Lookup!$A$2:$A$5,Lookup!$C$2:$C$5)</f>
        <v>Express</v>
      </c>
      <c r="H3" s="3">
        <f t="shared" ref="H3:H13" si="0">MAX($F3-$E3,0)</f>
        <v>1</v>
      </c>
    </row>
    <row r="4" spans="1:11" x14ac:dyDescent="0.3">
      <c r="A4" s="3">
        <v>3</v>
      </c>
      <c r="B4" s="1" t="s">
        <v>6</v>
      </c>
      <c r="C4" s="1" t="s">
        <v>11</v>
      </c>
      <c r="D4" s="1" t="s">
        <v>12</v>
      </c>
      <c r="E4" s="3">
        <v>5</v>
      </c>
      <c r="F4" s="3">
        <v>8</v>
      </c>
      <c r="G4" s="1" t="str">
        <f>_xlfn.XLOOKUP(C4,Lookup!$A$2:$A$5,Lookup!$C$2:$C$5)</f>
        <v>Standard</v>
      </c>
      <c r="H4" s="3">
        <f t="shared" si="0"/>
        <v>3</v>
      </c>
    </row>
    <row r="5" spans="1:11" ht="15.6" x14ac:dyDescent="0.3">
      <c r="A5" s="3">
        <v>4</v>
      </c>
      <c r="B5" s="1" t="s">
        <v>6</v>
      </c>
      <c r="C5" s="1" t="s">
        <v>13</v>
      </c>
      <c r="D5" s="1" t="s">
        <v>8</v>
      </c>
      <c r="E5" s="3">
        <v>6</v>
      </c>
      <c r="F5" s="3">
        <v>10</v>
      </c>
      <c r="G5" s="1" t="str">
        <f>_xlfn.XLOOKUP(C5,Lookup!$A$2:$A$5,Lookup!$C$2:$C$5)</f>
        <v>Standard</v>
      </c>
      <c r="H5" s="3">
        <f t="shared" si="0"/>
        <v>4</v>
      </c>
      <c r="J5" s="2" t="s">
        <v>24</v>
      </c>
      <c r="K5" s="1">
        <f>ROWS(Raw!$A1:$F14)</f>
        <v>14</v>
      </c>
    </row>
    <row r="6" spans="1:11" ht="15.6" x14ac:dyDescent="0.3">
      <c r="A6" s="3">
        <v>5</v>
      </c>
      <c r="B6" s="1" t="s">
        <v>14</v>
      </c>
      <c r="C6" s="1" t="s">
        <v>7</v>
      </c>
      <c r="D6" s="1" t="s">
        <v>10</v>
      </c>
      <c r="E6" s="3">
        <v>2</v>
      </c>
      <c r="F6" s="3">
        <v>5</v>
      </c>
      <c r="G6" s="1" t="str">
        <f>_xlfn.XLOOKUP(C6,Lookup!$A$2:$A$5,Lookup!$C$2:$C$5)</f>
        <v>Express</v>
      </c>
      <c r="H6" s="3">
        <f t="shared" si="0"/>
        <v>3</v>
      </c>
      <c r="J6" s="2" t="s">
        <v>25</v>
      </c>
      <c r="K6" s="1">
        <f>ROWS($A1:$F13)</f>
        <v>13</v>
      </c>
    </row>
    <row r="7" spans="1:11" x14ac:dyDescent="0.3">
      <c r="A7" s="3">
        <v>6</v>
      </c>
      <c r="B7" s="1" t="s">
        <v>14</v>
      </c>
      <c r="C7" s="1" t="s">
        <v>9</v>
      </c>
      <c r="D7" s="1" t="s">
        <v>12</v>
      </c>
      <c r="E7" s="3">
        <v>3</v>
      </c>
      <c r="F7" s="3">
        <v>3</v>
      </c>
      <c r="G7" s="1" t="str">
        <f>_xlfn.XLOOKUP(C7,Lookup!$A$2:$A$5,Lookup!$C$2:$C$5)</f>
        <v>Express</v>
      </c>
      <c r="H7" s="3">
        <f t="shared" si="0"/>
        <v>0</v>
      </c>
    </row>
    <row r="8" spans="1:11" x14ac:dyDescent="0.3">
      <c r="A8" s="3">
        <v>7</v>
      </c>
      <c r="B8" s="1" t="s">
        <v>14</v>
      </c>
      <c r="C8" s="1" t="s">
        <v>11</v>
      </c>
      <c r="D8" s="1" t="s">
        <v>12</v>
      </c>
      <c r="E8" s="3">
        <v>5</v>
      </c>
      <c r="F8" s="3">
        <v>10</v>
      </c>
      <c r="G8" s="1" t="str">
        <f>_xlfn.XLOOKUP(C8,Lookup!$A$2:$A$5,Lookup!$C$2:$C$5)</f>
        <v>Standard</v>
      </c>
      <c r="H8" s="3">
        <f t="shared" si="0"/>
        <v>5</v>
      </c>
    </row>
    <row r="9" spans="1:11" x14ac:dyDescent="0.3">
      <c r="A9" s="3">
        <v>8</v>
      </c>
      <c r="B9" s="1" t="s">
        <v>14</v>
      </c>
      <c r="C9" s="1" t="s">
        <v>13</v>
      </c>
      <c r="D9" s="1" t="s">
        <v>10</v>
      </c>
      <c r="E9" s="3">
        <v>6</v>
      </c>
      <c r="F9" s="3">
        <v>7</v>
      </c>
      <c r="G9" s="1" t="str">
        <f>_xlfn.XLOOKUP(C9,Lookup!$A$2:$A$5,Lookup!$C$2:$C$5)</f>
        <v>Standard</v>
      </c>
      <c r="H9" s="3">
        <f t="shared" si="0"/>
        <v>1</v>
      </c>
    </row>
    <row r="10" spans="1:11" x14ac:dyDescent="0.3">
      <c r="A10" s="3">
        <v>9</v>
      </c>
      <c r="B10" s="1" t="s">
        <v>15</v>
      </c>
      <c r="C10" s="1" t="s">
        <v>7</v>
      </c>
      <c r="D10" s="1" t="s">
        <v>12</v>
      </c>
      <c r="E10" s="3">
        <v>2</v>
      </c>
      <c r="F10" s="3">
        <v>8</v>
      </c>
      <c r="G10" s="1" t="str">
        <f>_xlfn.XLOOKUP(C10,Lookup!$A$2:$A$5,Lookup!$C$2:$C$5)</f>
        <v>Express</v>
      </c>
      <c r="H10" s="3">
        <f t="shared" si="0"/>
        <v>6</v>
      </c>
    </row>
    <row r="11" spans="1:11" x14ac:dyDescent="0.3">
      <c r="A11" s="3">
        <v>10</v>
      </c>
      <c r="B11" s="1" t="s">
        <v>15</v>
      </c>
      <c r="C11" s="1" t="s">
        <v>9</v>
      </c>
      <c r="D11" s="1" t="s">
        <v>8</v>
      </c>
      <c r="E11" s="3">
        <v>3</v>
      </c>
      <c r="F11" s="3">
        <v>5</v>
      </c>
      <c r="G11" s="1" t="str">
        <f>_xlfn.XLOOKUP(C11,Lookup!$A$2:$A$5,Lookup!$C$2:$C$5)</f>
        <v>Express</v>
      </c>
      <c r="H11" s="3">
        <f t="shared" si="0"/>
        <v>2</v>
      </c>
    </row>
    <row r="12" spans="1:11" x14ac:dyDescent="0.3">
      <c r="A12" s="3">
        <v>11</v>
      </c>
      <c r="B12" s="1" t="s">
        <v>15</v>
      </c>
      <c r="C12" s="1" t="s">
        <v>11</v>
      </c>
      <c r="D12" s="1" t="s">
        <v>10</v>
      </c>
      <c r="E12" s="3">
        <v>5</v>
      </c>
      <c r="F12" s="3">
        <v>5</v>
      </c>
      <c r="G12" s="1" t="str">
        <f>_xlfn.XLOOKUP(C12,Lookup!$A$2:$A$5,Lookup!$C$2:$C$5)</f>
        <v>Standard</v>
      </c>
      <c r="H12" s="3">
        <f t="shared" si="0"/>
        <v>0</v>
      </c>
    </row>
    <row r="13" spans="1:11" x14ac:dyDescent="0.3">
      <c r="A13" s="3">
        <v>12</v>
      </c>
      <c r="B13" s="1" t="s">
        <v>15</v>
      </c>
      <c r="C13" s="1" t="s">
        <v>13</v>
      </c>
      <c r="D13" s="1" t="s">
        <v>8</v>
      </c>
      <c r="E13" s="3">
        <v>6</v>
      </c>
      <c r="F13" s="3">
        <v>15</v>
      </c>
      <c r="G13" s="1" t="str">
        <f>_xlfn.XLOOKUP(C13,Lookup!$A$2:$A$5,Lookup!$C$2:$C$5)</f>
        <v>Standard</v>
      </c>
      <c r="H13" s="3">
        <f t="shared" si="0"/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E1D0-4E2E-496A-AE7A-41D8191B81F4}">
  <dimension ref="A1:C5"/>
  <sheetViews>
    <sheetView workbookViewId="0">
      <selection activeCell="D15" sqref="D15"/>
    </sheetView>
  </sheetViews>
  <sheetFormatPr defaultRowHeight="14.4" x14ac:dyDescent="0.3"/>
  <cols>
    <col min="1" max="1" width="13.44140625" customWidth="1"/>
    <col min="2" max="2" width="15.6640625" customWidth="1"/>
    <col min="3" max="3" width="15.5546875" customWidth="1"/>
  </cols>
  <sheetData>
    <row r="1" spans="1:3" ht="15.6" x14ac:dyDescent="0.3">
      <c r="A1" s="2" t="s">
        <v>2</v>
      </c>
      <c r="B1" s="2" t="s">
        <v>16</v>
      </c>
      <c r="C1" s="2" t="s">
        <v>17</v>
      </c>
    </row>
    <row r="2" spans="1:3" x14ac:dyDescent="0.3">
      <c r="A2" s="1" t="s">
        <v>7</v>
      </c>
      <c r="B2" s="1" t="s">
        <v>18</v>
      </c>
      <c r="C2" s="1" t="s">
        <v>19</v>
      </c>
    </row>
    <row r="3" spans="1:3" x14ac:dyDescent="0.3">
      <c r="A3" s="1" t="s">
        <v>9</v>
      </c>
      <c r="B3" s="1" t="s">
        <v>20</v>
      </c>
      <c r="C3" s="1" t="s">
        <v>19</v>
      </c>
    </row>
    <row r="4" spans="1:3" x14ac:dyDescent="0.3">
      <c r="A4" s="1" t="s">
        <v>11</v>
      </c>
      <c r="B4" s="1" t="s">
        <v>21</v>
      </c>
      <c r="C4" s="1" t="s">
        <v>22</v>
      </c>
    </row>
    <row r="5" spans="1:3" x14ac:dyDescent="0.3">
      <c r="A5" s="1" t="s">
        <v>13</v>
      </c>
      <c r="B5" s="1" t="s">
        <v>23</v>
      </c>
      <c r="C5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0F56-4871-49A7-9B18-C30D15983C46}">
  <dimension ref="A2:D12"/>
  <sheetViews>
    <sheetView workbookViewId="0">
      <selection activeCell="G11" sqref="G11"/>
    </sheetView>
  </sheetViews>
  <sheetFormatPr defaultRowHeight="14.4" x14ac:dyDescent="0.3"/>
  <cols>
    <col min="1" max="1" width="17.33203125" bestFit="1" customWidth="1"/>
    <col min="2" max="2" width="13" customWidth="1"/>
    <col min="3" max="3" width="8.6640625" bestFit="1" customWidth="1"/>
    <col min="4" max="4" width="10.77734375" bestFit="1" customWidth="1"/>
    <col min="5" max="5" width="7.21875" bestFit="1" customWidth="1"/>
    <col min="6" max="7" width="8.6640625" bestFit="1" customWidth="1"/>
    <col min="8" max="8" width="7.21875" bestFit="1" customWidth="1"/>
    <col min="9" max="9" width="8.6640625" bestFit="1" customWidth="1"/>
    <col min="10" max="10" width="9.109375" bestFit="1" customWidth="1"/>
    <col min="11" max="11" width="10.77734375" bestFit="1" customWidth="1"/>
  </cols>
  <sheetData>
    <row r="2" spans="1:4" x14ac:dyDescent="0.3">
      <c r="A2" s="5" t="s">
        <v>31</v>
      </c>
      <c r="B2" s="5" t="s">
        <v>30</v>
      </c>
    </row>
    <row r="3" spans="1:4" x14ac:dyDescent="0.3">
      <c r="A3" s="5" t="s">
        <v>28</v>
      </c>
      <c r="B3" t="s">
        <v>19</v>
      </c>
      <c r="C3" t="s">
        <v>22</v>
      </c>
      <c r="D3" t="s">
        <v>29</v>
      </c>
    </row>
    <row r="4" spans="1:4" x14ac:dyDescent="0.3">
      <c r="A4" s="6" t="s">
        <v>6</v>
      </c>
      <c r="B4" s="4">
        <v>1</v>
      </c>
      <c r="C4" s="4">
        <v>7</v>
      </c>
      <c r="D4" s="4">
        <v>8</v>
      </c>
    </row>
    <row r="5" spans="1:4" x14ac:dyDescent="0.3">
      <c r="A5" s="6" t="s">
        <v>14</v>
      </c>
      <c r="B5" s="4">
        <v>3</v>
      </c>
      <c r="C5" s="4">
        <v>6</v>
      </c>
      <c r="D5" s="4">
        <v>9</v>
      </c>
    </row>
    <row r="6" spans="1:4" x14ac:dyDescent="0.3">
      <c r="A6" s="6" t="s">
        <v>15</v>
      </c>
      <c r="B6" s="4">
        <v>8</v>
      </c>
      <c r="C6" s="4">
        <v>9</v>
      </c>
      <c r="D6" s="4">
        <v>17</v>
      </c>
    </row>
    <row r="7" spans="1:4" x14ac:dyDescent="0.3">
      <c r="A7" s="6" t="s">
        <v>29</v>
      </c>
      <c r="B7" s="4">
        <v>12</v>
      </c>
      <c r="C7" s="4">
        <v>22</v>
      </c>
      <c r="D7" s="4">
        <v>34</v>
      </c>
    </row>
    <row r="9" spans="1:4" ht="15.6" x14ac:dyDescent="0.3">
      <c r="A9" s="2" t="s">
        <v>3</v>
      </c>
      <c r="B9" s="2" t="s">
        <v>27</v>
      </c>
    </row>
    <row r="10" spans="1:4" x14ac:dyDescent="0.3">
      <c r="A10" s="1" t="s">
        <v>8</v>
      </c>
      <c r="B10" s="1">
        <f>SUMIF(Deliveries!$D$2:$D$13,'Summary Sheet'!A10,Deliveries!$H$2:$H$13)</f>
        <v>15</v>
      </c>
    </row>
    <row r="11" spans="1:4" x14ac:dyDescent="0.3">
      <c r="A11" s="1" t="s">
        <v>10</v>
      </c>
      <c r="B11" s="1">
        <f>SUMIF(Deliveries!$D$2:$D$13,'Summary Sheet'!A11,Deliveries!$H$2:$H$13)</f>
        <v>5</v>
      </c>
    </row>
    <row r="12" spans="1:4" x14ac:dyDescent="0.3">
      <c r="A12" s="1" t="s">
        <v>12</v>
      </c>
      <c r="B12" s="1">
        <f>SUMIF(Deliveries!$D$2:$D$13,'Summary Sheet'!A12,Deliveries!$H$2:$H$13)</f>
        <v>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Deliveries</vt:lpstr>
      <vt:lpstr>Lookup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patelujjval404@gmail.com</dc:creator>
  <cp:lastModifiedBy>patelujjval404@gmail.com</cp:lastModifiedBy>
  <dcterms:created xsi:type="dcterms:W3CDTF">2026-10-10T07:02:36Z</dcterms:created>
  <dcterms:modified xsi:type="dcterms:W3CDTF">2026-10-10T07:49:26Z</dcterms:modified>
</cp:coreProperties>
</file>